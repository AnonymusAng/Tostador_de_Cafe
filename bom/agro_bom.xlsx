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bc6c95824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l.bom" sheetId="1" r:id="R3d2a7dbf7467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Calibri"/>
    </x:font>
    <x:font>
      <x:b/>
      <x:sz val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8D8BB"/>
      </x:patternFill>
    </x:fill>
    <x:fill>
      <x:patternFill patternType="solid">
        <x:fgColor rgb="FFFFF200"/>
      </x:patternFill>
    </x:fill>
  </x:fills>
  <x:borders count="2">
    <x:border/>
    <x:border>
      <x:left style="thin">
        <x:color rgb="FF606060"/>
      </x:left>
      <x:right style="thin">
        <x:color rgb="FF606060"/>
      </x:right>
      <x:top style="thin">
        <x:color rgb="FF606060"/>
      </x:top>
      <x:bottom style="thin">
        <x:color rgb="FF60606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8d6e528c24176" /><Relationship Type="http://schemas.openxmlformats.org/officeDocument/2006/relationships/theme" Target="/xl/theme/theme1.xml" Id="Rbbd0d8160e5e4534" /><Relationship Type="http://schemas.openxmlformats.org/officeDocument/2006/relationships/sharedStrings" Target="/xl/sharedStrings.xml" Id="R33ad4d4244084abc" /><Relationship Type="http://schemas.openxmlformats.org/officeDocument/2006/relationships/worksheet" Target="/xl/worksheets/sheet1.xml" Id="R3d2a7dbf7467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6" hidden="0" customWidth="1"/>
    <x:col min="2" max="2" width="6" hidden="0" customWidth="1"/>
    <x:col min="3" max="3" width="27" hidden="0" customWidth="1"/>
    <x:col min="4" max="4" width="22" hidden="0" customWidth="1"/>
    <x:col min="5" max="5" width="15" hidden="0" customWidth="1"/>
    <x:col min="6" max="6" width="55" hidden="0" customWidth="1"/>
    <x:col min="7" max="7" width="27" hidden="0" customWidth="1"/>
    <x:col min="8" max="8" width="32" hidden="0" customWidth="1"/>
    <x:col min="9" max="9" width="16" hidden="0" customWidth="1"/>
    <x:col min="10" max="10" width="16" hidden="0" customWidth="1"/>
    <x:col min="11" max="11" width="17" hidden="0" customWidth="1"/>
    <x:col min="12" max="12" width="17" hidden="0" customWidth="1"/>
    <x:col min="13" max="13" width="26" hidden="0" customWidth="1"/>
    <x:col min="14" max="14" width="12" hidden="0" customWidth="1"/>
    <x:col min="15" max="15" width="65" hidden="0" customWidth="1"/>
    <x:col min="16" max="16" width="43" hidden="0" customWidth="1"/>
    <x:col min="17" max="1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"/>
      <x:c r="B2" s="1"/>
      <x:c r="C2" s="1"/>
      <x:c r="D2" s="1"/>
      <x:c r="E2" s="1"/>
      <x:c r="F2" s="1"/>
      <x:c r="G2" s="1"/>
      <x:c r="H2" s="1"/>
      <x:c r="I2" s="1" t="str">
        <x:v>Distribución principal. Precios en COP. Consulta: 14/09/2026.</x:v>
      </x:c>
      <x:c r="J2" s="1"/>
      <x:c r="K2" s="1"/>
      <x:c r="L2" s="1"/>
      <x:c r="M2" s="1"/>
      <x:c r="N2" s="1"/>
      <x:c r="O2" s="1"/>
      <x:c r="P2" s="1"/>
      <x:c r="Q2" s="1"/>
    </x:row>
    <x:row r="3" ht="32" customHeight="1">
      <x:c r="A3" s="11" t="str">
        <x:v>Item</x:v>
      </x:c>
      <x:c r="B3" s="11" t="str">
        <x:v>Qty</x:v>
      </x:c>
      <x:c r="C3" s="11" t="str">
        <x:v>Value</x:v>
      </x:c>
      <x:c r="D3" s="11" t="str">
        <x:v>Device</x:v>
      </x:c>
      <x:c r="E3" s="11" t="str">
        <x:v>Package</x:v>
      </x:c>
      <x:c r="F3" s="11" t="str">
        <x:v>Description</x:v>
      </x:c>
      <x:c r="G3" s="11" t="str">
        <x:v>MANUFACTURER</x:v>
      </x:c>
      <x:c r="H3" s="11" t="str">
        <x:v>MANUFACT REF</x:v>
      </x:c>
      <x:c r="I3" s="11" t="str">
        <x:v>Unit Price COP</x:v>
      </x:c>
      <x:c r="J3" s="11" t="str">
        <x:v>25 Price COP</x:v>
      </x:c>
      <x:c r="K3" s="12" t="str">
        <x:v>SUMA COP</x:v>
      </x:c>
      <x:c r="L3" s="12" t="str">
        <x:v>SUMA 25</x:v>
      </x:c>
      <x:c r="M3" s="11" t="str">
        <x:v>Distrib</x:v>
      </x:c>
      <x:c r="N3" s="11" t="str">
        <x:v>Country</x:v>
      </x:c>
      <x:c r="O3" s="11" t="str">
        <x:v>Ref. Dis. / enlace</x:v>
      </x:c>
      <x:c r="P3" s="11" t="str">
        <x:v>Quote / Date</x:v>
      </x:c>
      <x:c r="Q3" s="11" t="str">
        <x:v>Stock</x:v>
      </x:c>
    </x:row>
    <x:row r="4" ht="44" customHeight="1">
      <x:c r="A4" s="13" t="n">
        <x:v>1</x:v>
      </x:c>
      <x:c r="B4" s="13" t="n">
        <x:v>1</x:v>
      </x:c>
      <x:c r="C4" s="13" t="str">
        <x:v>ESP32 38 pines</x:v>
      </x:c>
      <x:c r="D4" s="13" t="str">
        <x:v>Controlador</x:v>
      </x:c>
      <x:c r="E4" s="13" t="str">
        <x:v>Unidad / kit</x:v>
      </x:c>
      <x:c r="F4" s="13" t="str">
        <x:v>Placa clásica ESP32-WROOM-32, USB 5 V; GPIO 3,3 V</x:v>
      </x:c>
      <x:c r="G4" s="13" t="str">
        <x:v>Placa genérica / módulo Espressif</x:v>
      </x:c>
      <x:c r="H4" s="13" t="str">
        <x:v>TD036</x:v>
      </x:c>
      <x:c r="I4" s="14" t="n">
        <x:v>26000</x:v>
      </x:c>
      <x:c r="J4" s="14"/>
      <x:c r="K4" s="15" t="n">
        <x:f>B4*I4</x:f>
        <x:v>26000</x:v>
      </x:c>
      <x:c r="L4" s="15" t="str">
        <x:f>IF(J4="","n.a.",B4*J4)</x:f>
        <x:v>n.a.</x:v>
      </x:c>
      <x:c r="M4" s="13" t="str">
        <x:v>Mactrónica</x:v>
      </x:c>
      <x:c r="N4" s="13" t="str">
        <x:v>Colombia</x:v>
      </x:c>
      <x:c r="O4" s="13" t="str">
        <x:v>https://www.mactronica.com.co/esp32-38-pines</x:v>
      </x:c>
      <x:c r="P4" s="13" t="str">
        <x:v>Precio publicado; stock contradictorio. 14/09/2026</x:v>
      </x:c>
      <x:c r="Q4" s="13" t="str">
        <x:v>Confirmar</x:v>
      </x:c>
    </x:row>
    <x:row r="5" ht="44" customHeight="1">
      <x:c r="A5" s="13" t="n">
        <x:v>2</x:v>
      </x:c>
      <x:c r="B5" s="13" t="n">
        <x:v>1</x:v>
      </x:c>
      <x:c r="C5" s="13" t="str">
        <x:v>K + MAX6675</x:v>
      </x:c>
      <x:c r="D5" s="13" t="str">
        <x:v>Sensor térmico</x:v>
      </x:c>
      <x:c r="E5" s="13" t="str">
        <x:v>Unidad / kit</x:v>
      </x:c>
      <x:c r="F5" s="13" t="str">
        <x:v>Kit. Alimentar módulo a 3,3 V. Verificar sonda apta &gt;=300 °C y montaje</x:v>
      </x:c>
      <x:c r="G5" s="13" t="str">
        <x:v>Genérico / IC Analog Devices</x:v>
      </x:c>
      <x:c r="H5" s="13" t="str">
        <x:v>SE014</x:v>
      </x:c>
      <x:c r="I5" s="14" t="n">
        <x:v>17000</x:v>
      </x:c>
      <x:c r="J5" s="14"/>
      <x:c r="K5" s="15" t="n">
        <x:f>B5*I5</x:f>
        <x:v>17000</x:v>
      </x:c>
      <x:c r="L5" s="15" t="str">
        <x:f>IF(J5="","n.a.",B5*J5)</x:f>
        <x:v>n.a.</x:v>
      </x:c>
      <x:c r="M5" s="13" t="str">
        <x:v>Mactrónica</x:v>
      </x:c>
      <x:c r="N5" s="13" t="str">
        <x:v>Colombia</x:v>
      </x:c>
      <x:c r="O5" s="13" t="str">
        <x:v>https://www.mactronica.com.co/sensor-termocupla-con-max6675</x:v>
      </x:c>
      <x:c r="P5" s="13" t="str">
        <x:v>Precio publicado; stock contradictorio. 14/09/2026</x:v>
      </x:c>
      <x:c r="Q5" s="13" t="str">
        <x:v>Confirmar</x:v>
      </x:c>
    </x:row>
    <x:row r="6" ht="44" customHeight="1">
      <x:c r="A6" s="13" t="n">
        <x:v>3</x:v>
      </x:c>
      <x:c r="B6" s="13" t="n">
        <x:v>1</x:v>
      </x:c>
      <x:c r="C6" s="13" t="str">
        <x:v>Adaptador 12 V / 5 A</x:v>
      </x:c>
      <x:c r="D6" s="13" t="str">
        <x:v>Fuente AC/DC</x:v>
      </x:c>
      <x:c r="E6" s="13" t="str">
        <x:v>Unidad / kit</x:v>
      </x:c>
      <x:c r="F6" s="13" t="str">
        <x:v>Fuente de escritorio aislada, 60 W; conector DC y cable incluidos por confirmar</x:v>
      </x:c>
      <x:c r="G6" s="13" t="str">
        <x:v>UHF</x:v>
      </x:c>
      <x:c r="H6" s="13" t="str">
        <x:v>UHF-F12V5AH</x:v>
      </x:c>
      <x:c r="I6" s="14" t="n">
        <x:v>27450</x:v>
      </x:c>
      <x:c r="J6" s="14"/>
      <x:c r="K6" s="15" t="n">
        <x:f>B6*I6</x:f>
        <x:v>27450</x:v>
      </x:c>
      <x:c r="L6" s="15" t="str">
        <x:f>IF(J6="","n.a.",B6*J6)</x:f>
        <x:v>n.a.</x:v>
      </x:c>
      <x:c r="M6" s="13" t="str">
        <x:v>UHF Colombia</x:v>
      </x:c>
      <x:c r="N6" s="13" t="str">
        <x:v>Colombia</x:v>
      </x:c>
      <x:c r="O6" s="13" t="str">
        <x:v>https://uhf.com.co/products/uhf-f12v5ah</x:v>
      </x:c>
      <x:c r="P6" s="13" t="str">
        <x:v>Precio publicado. 14/09/2026</x:v>
      </x:c>
      <x:c r="Q6" s="13" t="str">
        <x:v>Confirmar</x:v>
      </x:c>
    </x:row>
    <x:row r="7" ht="44" customHeight="1">
      <x:c r="A7" s="13" t="n">
        <x:v>4</x:v>
      </x:c>
      <x:c r="B7" s="13" t="n">
        <x:v>1</x:v>
      </x:c>
      <x:c r="C7" s="13" t="str">
        <x:v>LM2596 ajustable</x:v>
      </x:c>
      <x:c r="D7" s="13" t="str">
        <x:v>Convertidor DC/DC</x:v>
      </x:c>
      <x:c r="E7" s="13" t="str">
        <x:v>Unidad / kit</x:v>
      </x:c>
      <x:c r="F7" s="13" t="str">
        <x:v>Ajustar a 5,00 V antes de conectar al USB del ESP32</x:v>
      </x:c>
      <x:c r="G7" s="13" t="str">
        <x:v>Genérico / IC Texas Instruments</x:v>
      </x:c>
      <x:c r="H7" s="13" t="str">
        <x:v>LM2596-ADJ</x:v>
      </x:c>
      <x:c r="I7" s="14" t="n">
        <x:v>6900</x:v>
      </x:c>
      <x:c r="J7" s="14"/>
      <x:c r="K7" s="15" t="n">
        <x:f>B7*I7</x:f>
        <x:v>6900</x:v>
      </x:c>
      <x:c r="L7" s="15" t="str">
        <x:f>IF(J7="","n.a.",B7*J7)</x:f>
        <x:v>n.a.</x:v>
      </x:c>
      <x:c r="M7" s="13" t="str">
        <x:v>Sumador</x:v>
      </x:c>
      <x:c r="N7" s="13" t="str">
        <x:v>Colombia</x:v>
      </x:c>
      <x:c r="O7" s="13" t="str">
        <x:v>https://sumador.com/collections/reguladores</x:v>
      </x:c>
      <x:c r="P7" s="13" t="str">
        <x:v>Precio publicado (sin LED). 14/09/2026</x:v>
      </x:c>
      <x:c r="Q7" s="13" t="str">
        <x:v>Confirmar</x:v>
      </x:c>
    </x:row>
    <x:row r="8" ht="44" customHeight="1">
      <x:c r="A8" s="13" t="n">
        <x:v>5</x:v>
      </x:c>
      <x:c r="B8" s="13" t="n">
        <x:v>1</x:v>
      </x:c>
      <x:c r="C8" s="13" t="str">
        <x:v>ULN2003AN DIP16</x:v>
      </x:c>
      <x:c r="D8" s="13" t="str">
        <x:v>Driver</x:v>
      </x:c>
      <x:c r="E8" s="13" t="str">
        <x:v>Unidad / kit</x:v>
      </x:c>
      <x:c r="F8" s="13" t="str">
        <x:v>Driver de 3 canales: relés de motor/ventilador y entrada SSR</x:v>
      </x:c>
      <x:c r="G8" s="13" t="str">
        <x:v>Texas Instruments</x:v>
      </x:c>
      <x:c r="H8" s="13" t="str">
        <x:v>ULN2003AN</x:v>
      </x:c>
      <x:c r="I8" s="14" t="n">
        <x:v>3500</x:v>
      </x:c>
      <x:c r="J8" s="14"/>
      <x:c r="K8" s="15" t="n">
        <x:f>B8*I8</x:f>
        <x:v>3500</x:v>
      </x:c>
      <x:c r="L8" s="15" t="str">
        <x:f>IF(J8="","n.a.",B8*J8)</x:f>
        <x:v>n.a.</x:v>
      </x:c>
      <x:c r="M8" s="13" t="str">
        <x:v>Distribuidor electrónico local</x:v>
      </x:c>
      <x:c r="N8" s="13" t="str">
        <x:v>Colombia</x:v>
      </x:c>
      <x:c r="O8" s="13" t="str">
        <x:v>https://www.ti.com/product/ULN2003A</x:v>
      </x:c>
      <x:c r="P8" s="13" t="str">
        <x:v>Estimación; cotizar. 14/09/2026</x:v>
      </x:c>
      <x:c r="Q8" s="13" t="str">
        <x:v>Confirmar</x:v>
      </x:c>
    </x:row>
    <x:row r="9" ht="44" customHeight="1">
      <x:c r="A9" s="13" t="n">
        <x:v>6</x:v>
      </x:c>
      <x:c r="B9" s="13" t="n">
        <x:v>2</x:v>
      </x:c>
      <x:c r="C9" s="13" t="str">
        <x:v>SRD-12VDC-SL-C</x:v>
      </x:c>
      <x:c r="D9" s="13" t="str">
        <x:v>Relé DC</x:v>
      </x:c>
      <x:c r="E9" s="13" t="str">
        <x:v>Unidad / kit</x:v>
      </x:c>
      <x:c r="F9" s="13" t="str">
        <x:v>Bobina 12 V, 0,36 W; contactos conmutan motor/ventilador</x:v>
      </x:c>
      <x:c r="G9" s="13" t="str">
        <x:v>Songle</x:v>
      </x:c>
      <x:c r="H9" s="13" t="str">
        <x:v>SRD-12VDC-SL-C</x:v>
      </x:c>
      <x:c r="I9" s="14" t="n">
        <x:v>3570</x:v>
      </x:c>
      <x:c r="J9" s="14"/>
      <x:c r="K9" s="15" t="n">
        <x:f>B9*I9</x:f>
        <x:v>7140</x:v>
      </x:c>
      <x:c r="L9" s="15" t="str">
        <x:f>IF(J9="","n.a.",B9*J9)</x:f>
        <x:v>n.a.</x:v>
      </x:c>
      <x:c r="M9" s="13" t="str">
        <x:v>Sigma Electrónica</x:v>
      </x:c>
      <x:c r="N9" s="13" t="str">
        <x:v>Colombia</x:v>
      </x:c>
      <x:c r="O9" s="13" t="str">
        <x:v>https://www.sigmaelectronica.net/producto/srd-12vdc-sl-c/</x:v>
      </x:c>
      <x:c r="P9" s="13" t="str">
        <x:v>Precio publicado. 14/09/2026</x:v>
      </x:c>
      <x:c r="Q9" s="13" t="str">
        <x:v>Confirmar</x:v>
      </x:c>
    </x:row>
    <x:row r="10" ht="44" customHeight="1">
      <x:c r="A10" s="13" t="n">
        <x:v>7</x:v>
      </x:c>
      <x:c r="B10" s="13" t="n">
        <x:v>6</x:v>
      </x:c>
      <x:c r="C10" s="13" t="str">
        <x:v>10 kohm 1/4 W</x:v>
      </x:c>
      <x:c r="D10" s="13" t="str">
        <x:v>Resistencia</x:v>
      </x:c>
      <x:c r="E10" s="13" t="str">
        <x:v>Unidad / kit</x:v>
      </x:c>
      <x:c r="F10" s="13" t="str">
        <x:v>3 pull-down de salidas, 2 pull-up de entradas y 1 pull-up CS</x:v>
      </x:c>
      <x:c r="G10" s="13" t="str">
        <x:v>Genérico</x:v>
      </x:c>
      <x:c r="H10" s="13" t="str">
        <x:v>10K 5%</x:v>
      </x:c>
      <x:c r="I10" s="14" t="n">
        <x:v>100</x:v>
      </x:c>
      <x:c r="J10" s="14"/>
      <x:c r="K10" s="15" t="n">
        <x:f>B10*I10</x:f>
        <x:v>600</x:v>
      </x:c>
      <x:c r="L10" s="15" t="str">
        <x:f>IF(J10="","n.a.",B10*J10)</x:f>
        <x:v>n.a.</x:v>
      </x:c>
      <x:c r="M10" s="13" t="str">
        <x:v>Distribuidor electrónico local</x:v>
      </x:c>
      <x:c r="N10" s="13" t="str">
        <x:v>Colombia</x:v>
      </x:c>
      <x:c r="O10" s="13" t="str">
        <x:v>https://www.mactronica.com.co/</x:v>
      </x:c>
      <x:c r="P10" s="13" t="str">
        <x:v>Estimación; cotizar. 14/09/2026</x:v>
      </x:c>
      <x:c r="Q10" s="13" t="str">
        <x:v>Confirmar</x:v>
      </x:c>
    </x:row>
    <x:row r="11" ht="44" customHeight="1">
      <x:c r="A11" s="13" t="n">
        <x:v>8</x:v>
      </x:c>
      <x:c r="B11" s="13" t="n">
        <x:v>3</x:v>
      </x:c>
      <x:c r="C11" s="13" t="str">
        <x:v>100 nF</x:v>
      </x:c>
      <x:c r="D11" s="13" t="str">
        <x:v>Capacitor</x:v>
      </x:c>
      <x:c r="E11" s="13" t="str">
        <x:v>Unidad / kit</x:v>
      </x:c>
      <x:c r="F11" s="13" t="str">
        <x:v>Desacoplo MAX6675, driver y terminales del motor</x:v>
      </x:c>
      <x:c r="G11" s="13" t="str">
        <x:v>Genérico</x:v>
      </x:c>
      <x:c r="H11" s="13" t="str">
        <x:v>100nF 50V</x:v>
      </x:c>
      <x:c r="I11" s="14" t="n">
        <x:v>300</x:v>
      </x:c>
      <x:c r="J11" s="14"/>
      <x:c r="K11" s="15" t="n">
        <x:f>B11*I11</x:f>
        <x:v>900</x:v>
      </x:c>
      <x:c r="L11" s="15" t="str">
        <x:f>IF(J11="","n.a.",B11*J11)</x:f>
        <x:v>n.a.</x:v>
      </x:c>
      <x:c r="M11" s="13" t="str">
        <x:v>Distribuidor electrónico local</x:v>
      </x:c>
      <x:c r="N11" s="13" t="str">
        <x:v>Colombia</x:v>
      </x:c>
      <x:c r="O11" s="13" t="str">
        <x:v>https://www.mactronica.com.co/</x:v>
      </x:c>
      <x:c r="P11" s="13" t="str">
        <x:v>Estimación; cotizar. 14/09/2026</x:v>
      </x:c>
      <x:c r="Q11" s="13" t="str">
        <x:v>Confirmar</x:v>
      </x:c>
    </x:row>
    <x:row r="12" ht="44" customHeight="1">
      <x:c r="A12" s="13" t="n">
        <x:v>9</x:v>
      </x:c>
      <x:c r="B12" s="13" t="n">
        <x:v>1</x:v>
      </x:c>
      <x:c r="C12" s="13" t="str">
        <x:v>470 uF / 25 V</x:v>
      </x:c>
      <x:c r="D12" s="13" t="str">
        <x:v>Capacitor</x:v>
      </x:c>
      <x:c r="E12" s="13" t="str">
        <x:v>Unidad / kit</x:v>
      </x:c>
      <x:c r="F12" s="13" t="str">
        <x:v>Reserva local en alimentación de 12 V</x:v>
      </x:c>
      <x:c r="G12" s="13" t="str">
        <x:v>Genérico</x:v>
      </x:c>
      <x:c r="H12" s="13" t="str">
        <x:v>470uF 25V</x:v>
      </x:c>
      <x:c r="I12" s="14" t="n">
        <x:v>1500</x:v>
      </x:c>
      <x:c r="J12" s="14"/>
      <x:c r="K12" s="15" t="n">
        <x:f>B12*I12</x:f>
        <x:v>1500</x:v>
      </x:c>
      <x:c r="L12" s="15" t="str">
        <x:f>IF(J12="","n.a.",B12*J12)</x:f>
        <x:v>n.a.</x:v>
      </x:c>
      <x:c r="M12" s="13" t="str">
        <x:v>Distribuidor electrónico local</x:v>
      </x:c>
      <x:c r="N12" s="13" t="str">
        <x:v>Colombia</x:v>
      </x:c>
      <x:c r="O12" s="13" t="str">
        <x:v>https://www.mactronica.com.co/</x:v>
      </x:c>
      <x:c r="P12" s="13" t="str">
        <x:v>Estimación; cotizar. 14/09/2026</x:v>
      </x:c>
      <x:c r="Q12" s="13" t="str">
        <x:v>Confirmar</x:v>
      </x:c>
    </x:row>
    <x:row r="13" ht="44" customHeight="1">
      <x:c r="A13" s="13" t="n">
        <x:v>10</x:v>
      </x:c>
      <x:c r="B13" s="13" t="n">
        <x:v>1</x:v>
      </x:c>
      <x:c r="C13" s="13" t="str">
        <x:v>1N5408</x:v>
      </x:c>
      <x:c r="D13" s="13" t="str">
        <x:v>Diodo</x:v>
      </x:c>
      <x:c r="E13" s="13" t="str">
        <x:v>Unidad / kit</x:v>
      </x:c>
      <x:c r="F13" s="13" t="str">
        <x:v>En paralelo con motor: cátodo al positivo, ánodo al negativo</x:v>
      </x:c>
      <x:c r="G13" s="13" t="str">
        <x:v>Por definir</x:v>
      </x:c>
      <x:c r="H13" s="13" t="str">
        <x:v>1N5408</x:v>
      </x:c>
      <x:c r="I13" s="14" t="n">
        <x:v>1000</x:v>
      </x:c>
      <x:c r="J13" s="14"/>
      <x:c r="K13" s="15" t="n">
        <x:f>B13*I13</x:f>
        <x:v>1000</x:v>
      </x:c>
      <x:c r="L13" s="15" t="str">
        <x:f>IF(J13="","n.a.",B13*J13)</x:f>
        <x:v>n.a.</x:v>
      </x:c>
      <x:c r="M13" s="13" t="str">
        <x:v>Distribuidor electrónico local</x:v>
      </x:c>
      <x:c r="N13" s="13" t="str">
        <x:v>Colombia</x:v>
      </x:c>
      <x:c r="O13" s="13" t="str">
        <x:v>https://www.mactronica.com.co/</x:v>
      </x:c>
      <x:c r="P13" s="13" t="str">
        <x:v>Estimación; cotizar. 14/09/2026</x:v>
      </x:c>
      <x:c r="Q13" s="13" t="str">
        <x:v>Confirmar</x:v>
      </x:c>
    </x:row>
    <x:row r="14" ht="44" customHeight="1">
      <x:c r="A14" s="13" t="n">
        <x:v>11</x:v>
      </x:c>
      <x:c r="B14" s="13" t="n">
        <x:v>1</x:v>
      </x:c>
      <x:c r="C14" s="13" t="str">
        <x:v>Cable USB</x:v>
      </x:c>
      <x:c r="D14" s="13" t="str">
        <x:v>Alimentación placa</x:v>
      </x:c>
      <x:c r="E14" s="13" t="str">
        <x:v>Unidad / kit</x:v>
      </x:c>
      <x:c r="F14" s="13" t="str">
        <x:v>Cable con 5 V desde buck a USB. No conectar dos fuentes USB</x:v>
      </x:c>
      <x:c r="G14" s="13" t="str">
        <x:v>Genérico</x:v>
      </x:c>
      <x:c r="H14" s="13" t="str">
        <x:v>Micro USB para TD036</x:v>
      </x:c>
      <x:c r="I14" s="14" t="n">
        <x:v>5000</x:v>
      </x:c>
      <x:c r="J14" s="14"/>
      <x:c r="K14" s="15" t="n">
        <x:f>B14*I14</x:f>
        <x:v>5000</x:v>
      </x:c>
      <x:c r="L14" s="15" t="str">
        <x:f>IF(J14="","n.a.",B14*J14)</x:f>
        <x:v>n.a.</x:v>
      </x:c>
      <x:c r="M14" s="13" t="str">
        <x:v>Distribuidor electrónico local</x:v>
      </x:c>
      <x:c r="N14" s="13" t="str">
        <x:v>Colombia</x:v>
      </x:c>
      <x:c r="O14" s="13" t="str">
        <x:v>https://www.mactronica.com.co/</x:v>
      </x:c>
      <x:c r="P14" s="13" t="str">
        <x:v>Estimación; cotizar. 14/09/2026</x:v>
      </x:c>
      <x:c r="Q14" s="13" t="str">
        <x:v>Confirmar</x:v>
      </x:c>
    </x:row>
    <x:row r="15" ht="44" customHeight="1">
      <x:c r="A15" s="13" t="n">
        <x:v>12</x:v>
      </x:c>
      <x:c r="B15" s="13" t="n">
        <x:v>1</x:v>
      </x:c>
      <x:c r="C15" s="13" t="str">
        <x:v>Placa y cableado DC</x:v>
      </x:c>
      <x:c r="D15" s="13" t="str">
        <x:v>Montaje</x:v>
      </x:c>
      <x:c r="E15" s="13" t="str">
        <x:v>Unidad / kit</x:v>
      </x:c>
      <x:c r="F15" s="13" t="str">
        <x:v>Placa perforada pequeña, zócalo DIP, borneras y cables DC; montaje manual</x:v>
      </x:c>
      <x:c r="G15" s="13" t="str">
        <x:v>Genérico</x:v>
      </x:c>
      <x:c r="H15" s="13" t="str">
        <x:v>Kit de montaje DC</x:v>
      </x:c>
      <x:c r="I15" s="14" t="n">
        <x:v>12000</x:v>
      </x:c>
      <x:c r="J15" s="14"/>
      <x:c r="K15" s="15" t="n">
        <x:f>B15*I15</x:f>
        <x:v>12000</x:v>
      </x:c>
      <x:c r="L15" s="15" t="str">
        <x:f>IF(J15="","n.a.",B15*J15)</x:f>
        <x:v>n.a.</x:v>
      </x:c>
      <x:c r="M15" s="13" t="str">
        <x:v>Distribuidor electrónico local</x:v>
      </x:c>
      <x:c r="N15" s="13" t="str">
        <x:v>Colombia</x:v>
      </x:c>
      <x:c r="O15" s="13" t="str">
        <x:v>https://www.mactronica.com.co/</x:v>
      </x:c>
      <x:c r="P15" s="13" t="str">
        <x:v>Estimación; cotizar. 14/09/2026</x:v>
      </x:c>
      <x:c r="Q15" s="13" t="str">
        <x:v>Confirmar</x:v>
      </x:c>
    </x:row>
    <x:row r="16" ht="44" customHeight="1">
      <x:c r="A16" s="13" t="n">
        <x:v>13</x:v>
      </x:c>
      <x:c r="B16" s="13" t="n">
        <x:v>1</x:v>
      </x:c>
      <x:c r="C16" s="13" t="str">
        <x:v>JGB37-520 12 V 107 rpm</x:v>
      </x:c>
      <x:c r="D16" s="13" t="str">
        <x:v>Motorreductor</x:v>
      </x:c>
      <x:c r="E16" s="13" t="str">
        <x:v>Unidad / kit</x:v>
      </x:c>
      <x:c r="F16" s="13" t="str">
        <x:v>Añadir reducción mecánica 3:1; verificar par y corriente bajo carga</x:v>
      </x:c>
      <x:c r="G16" s="13" t="str">
        <x:v>Genérico</x:v>
      </x:c>
      <x:c r="H16" s="13" t="str">
        <x:v>VIS4512</x:v>
      </x:c>
      <x:c r="I16" s="14" t="n">
        <x:v>34153</x:v>
      </x:c>
      <x:c r="J16" s="14"/>
      <x:c r="K16" s="15" t="n">
        <x:f>B16*I16</x:f>
        <x:v>34153</x:v>
      </x:c>
      <x:c r="L16" s="15" t="str">
        <x:f>IF(J16="","n.a.",B16*J16)</x:f>
        <x:v>n.a.</x:v>
      </x:c>
      <x:c r="M16" s="13" t="str">
        <x:v>Vistrónica</x:v>
      </x:c>
      <x:c r="N16" s="13" t="str">
        <x:v>Colombia</x:v>
      </x:c>
      <x:c r="O16" s="13" t="str">
        <x:v>https://www.vistronica.com/motorreductor-dc-jgb37-520-12v-con-107-rpm-sin-base-de-fijacion-detail.html</x:v>
      </x:c>
      <x:c r="P16" s="13" t="str">
        <x:v>Precio publicado. 14/09/2026</x:v>
      </x:c>
      <x:c r="Q16" s="13" t="str">
        <x:v>Confirmar</x:v>
      </x:c>
    </x:row>
    <x:row r="17" ht="44" customHeight="1">
      <x:c r="A17" s="13" t="n">
        <x:v>14</x:v>
      </x:c>
      <x:c r="B17" s="13" t="n">
        <x:v>1</x:v>
      </x:c>
      <x:c r="C17" s="13" t="str">
        <x:v>Ventilador 12 V</x:v>
      </x:c>
      <x:c r="D17" s="13" t="str">
        <x:v>Enfriamiento</x:v>
      </x:c>
      <x:c r="E17" s="13" t="str">
        <x:v>Unidad / kit</x:v>
      </x:c>
      <x:c r="F17" s="13" t="str">
        <x:v>Ventilador axial nuevo 12 V / 120 mm, &lt;=0,5 A; aire ambiente sobre bandeja</x:v>
      </x:c>
      <x:c r="G17" s="13" t="str">
        <x:v>Por definir</x:v>
      </x:c>
      <x:c r="H17" s="13" t="str">
        <x:v>120mm 12V &lt;=0.5A</x:v>
      </x:c>
      <x:c r="I17" s="14" t="n">
        <x:v>12000</x:v>
      </x:c>
      <x:c r="J17" s="14"/>
      <x:c r="K17" s="15" t="n">
        <x:f>B17*I17</x:f>
        <x:v>12000</x:v>
      </x:c>
      <x:c r="L17" s="15" t="str">
        <x:f>IF(J17="","n.a.",B17*J17)</x:f>
        <x:v>n.a.</x:v>
      </x:c>
      <x:c r="M17" s="13" t="str">
        <x:v>Distribuidor electrónico local</x:v>
      </x:c>
      <x:c r="N17" s="13" t="str">
        <x:v>Colombia</x:v>
      </x:c>
      <x:c r="O17" s="13" t="str">
        <x:v>https://www.vistronica.com/</x:v>
      </x:c>
      <x:c r="P17" s="13" t="str">
        <x:v>Estimación; cotizar. 14/09/2026</x:v>
      </x:c>
      <x:c r="Q17" s="13" t="str">
        <x:v>Confirmar</x:v>
      </x:c>
    </x:row>
    <x:row r="18" ht="44" customHeight="1">
      <x:c r="A18" s="13" t="n">
        <x:v>15</x:v>
      </x:c>
      <x:c r="B18" s="13" t="n">
        <x:v>1</x:v>
      </x:c>
      <x:c r="C18" s="13" t="str">
        <x:v>120 V / 1100 W</x:v>
      </x:c>
      <x:c r="D18" s="13" t="str">
        <x:v>Calentador</x:v>
      </x:c>
      <x:c r="E18" s="13" t="str">
        <x:v>Unidad / kit</x:v>
      </x:c>
      <x:c r="F18" s="13" t="str">
        <x:v>Plato tubular comercial de estufa de 6 pulgadas; fijación y separación térmica</x:v>
      </x:c>
      <x:c r="G18" s="13" t="str">
        <x:v>Proveedor ARES</x:v>
      </x:c>
      <x:c r="H18" s="13" t="str">
        <x:v>Plato tubular 6 pulgadas 1100W 120V</x:v>
      </x:c>
      <x:c r="I18" s="14" t="n">
        <x:v>40000</x:v>
      </x:c>
      <x:c r="J18" s="14"/>
      <x:c r="K18" s="15" t="n">
        <x:f>B18*I18</x:f>
        <x:v>40000</x:v>
      </x:c>
      <x:c r="L18" s="15" t="str">
        <x:f>IF(J18="","n.a.",B18*J18)</x:f>
        <x:v>n.a.</x:v>
      </x:c>
      <x:c r="M18" s="13" t="str">
        <x:v>ARES SAS</x:v>
      </x:c>
      <x:c r="N18" s="13" t="str">
        <x:v>Colombia</x:v>
      </x:c>
      <x:c r="O18" s="13" t="str">
        <x:v>https://dcaressas.com/products/resistencia-plato-tubular-de-6-pulgadas-1100w-120v</x:v>
      </x:c>
      <x:c r="P18" s="13" t="str">
        <x:v>Precio publicado. 14/09/2026</x:v>
      </x:c>
      <x:c r="Q18" s="13" t="str">
        <x:v>Confirmar</x:v>
      </x:c>
    </x:row>
    <x:row r="19" ht="44" customHeight="1">
      <x:c r="A19" s="13" t="n">
        <x:v>16</x:v>
      </x:c>
      <x:c r="B19" s="13" t="n">
        <x:v>1</x:v>
      </x:c>
      <x:c r="C19" s="13" t="str">
        <x:v>Tambor acero inoxidable</x:v>
      </x:c>
      <x:c r="D19" s="13" t="str">
        <x:v>Estructura</x:v>
      </x:c>
      <x:c r="E19" s="13" t="str">
        <x:v>Unidad / kit</x:v>
      </x:c>
      <x:c r="F19" s="13" t="str">
        <x:v>Materiales nuevos: lámina/malla inox alimentaria, eje, 2 rodamientos y soportes básicos; fabricación manual</x:v>
      </x:c>
      <x:c r="G19" s="13" t="str">
        <x:v>Taller local</x:v>
      </x:c>
      <x:c r="H19" s="13" t="str">
        <x:v>Tambor y cámara de montaje manual</x:v>
      </x:c>
      <x:c r="I19" s="14" t="n">
        <x:v>85000</x:v>
      </x:c>
      <x:c r="J19" s="14"/>
      <x:c r="K19" s="15" t="n">
        <x:f>B19*I19</x:f>
        <x:v>85000</x:v>
      </x:c>
      <x:c r="L19" s="15" t="str">
        <x:f>IF(J19="","n.a.",B19*J19)</x:f>
        <x:v>n.a.</x:v>
      </x:c>
      <x:c r="M19" s="13" t="str">
        <x:v>Taller metalmecánico</x:v>
      </x:c>
      <x:c r="N19" s="13" t="str">
        <x:v>Colombia</x:v>
      </x:c>
      <x:c r="O19" s="13" t="str">
        <x:v>Cotización local pendiente</x:v>
      </x:c>
      <x:c r="P19" s="13" t="str">
        <x:v>Estimación; cotizar. 14/09/2026</x:v>
      </x:c>
      <x:c r="Q19" s="13" t="str">
        <x:v>Confirmar</x:v>
      </x:c>
    </x:row>
    <x:row r="20" ht="44" customHeight="1">
      <x:c r="A20" s="13" t="n">
        <x:v>17</x:v>
      </x:c>
      <x:c r="B20" s="13" t="n">
        <x:v>1</x:v>
      </x:c>
      <x:c r="C20" s="13" t="str">
        <x:v>Reducción 3:1</x:v>
      </x:c>
      <x:c r="D20" s="13" t="str">
        <x:v>Transmisión</x:v>
      </x:c>
      <x:c r="E20" s="13" t="str">
        <x:v>Unidad / kit</x:v>
      </x:c>
      <x:c r="F20" s="13" t="str">
        <x:v>Poleas/correa 3:1, acoplamiento y guarda básica; materiales nuevos</x:v>
      </x:c>
      <x:c r="G20" s="13" t="str">
        <x:v>Taller local</x:v>
      </x:c>
      <x:c r="H20" s="13" t="str">
        <x:v>Relación 3:1</x:v>
      </x:c>
      <x:c r="I20" s="14" t="n">
        <x:v>20000</x:v>
      </x:c>
      <x:c r="J20" s="14"/>
      <x:c r="K20" s="15" t="n">
        <x:f>B20*I20</x:f>
        <x:v>20000</x:v>
      </x:c>
      <x:c r="L20" s="15" t="str">
        <x:f>IF(J20="","n.a.",B20*J20)</x:f>
        <x:v>n.a.</x:v>
      </x:c>
      <x:c r="M20" s="13" t="str">
        <x:v>Taller metalmecánico</x:v>
      </x:c>
      <x:c r="N20" s="13" t="str">
        <x:v>Colombia</x:v>
      </x:c>
      <x:c r="O20" s="13" t="str">
        <x:v>Cotización local pendiente</x:v>
      </x:c>
      <x:c r="P20" s="13" t="str">
        <x:v>Estimación; cotizar. 14/09/2026</x:v>
      </x:c>
      <x:c r="Q20" s="13" t="str">
        <x:v>Confirmar</x:v>
      </x:c>
    </x:row>
    <x:row r="21" ht="44" customHeight="1">
      <x:c r="A21" s="13" t="n">
        <x:v>18</x:v>
      </x:c>
      <x:c r="B21" s="13" t="n">
        <x:v>1</x:v>
      </x:c>
      <x:c r="C21" s="13" t="str">
        <x:v>Bandeja y ducto</x:v>
      </x:c>
      <x:c r="D21" s="13" t="str">
        <x:v>Enfriamiento</x:v>
      </x:c>
      <x:c r="E21" s="13" t="str">
        <x:v>Unidad / kit</x:v>
      </x:c>
      <x:c r="F21" s="13" t="str">
        <x:v>Bandeja metálica perforada y soporte de ventilador; materiales nuevos</x:v>
      </x:c>
      <x:c r="G21" s="13" t="str">
        <x:v>Taller local</x:v>
      </x:c>
      <x:c r="H21" s="13" t="str">
        <x:v>A medida</x:v>
      </x:c>
      <x:c r="I21" s="14" t="n">
        <x:v>12000</x:v>
      </x:c>
      <x:c r="J21" s="14"/>
      <x:c r="K21" s="15" t="n">
        <x:f>B21*I21</x:f>
        <x:v>12000</x:v>
      </x:c>
      <x:c r="L21" s="15" t="str">
        <x:f>IF(J21="","n.a.",B21*J21)</x:f>
        <x:v>n.a.</x:v>
      </x:c>
      <x:c r="M21" s="13" t="str">
        <x:v>Taller metalmecánico</x:v>
      </x:c>
      <x:c r="N21" s="13" t="str">
        <x:v>Colombia</x:v>
      </x:c>
      <x:c r="O21" s="13" t="str">
        <x:v>Cotización local pendiente</x:v>
      </x:c>
      <x:c r="P21" s="13" t="str">
        <x:v>Estimación; cotizar. 14/09/2026</x:v>
      </x:c>
      <x:c r="Q21" s="13" t="str">
        <x:v>Confirmar</x:v>
      </x:c>
    </x:row>
    <x:row r="22" ht="44" customHeight="1">
      <x:c r="A22" s="13" t="n">
        <x:v>19</x:v>
      </x:c>
      <x:c r="B22" s="13" t="n">
        <x:v>1</x:v>
      </x:c>
      <x:c r="C22" s="13" t="str">
        <x:v>SSR-25DA</x:v>
      </x:c>
      <x:c r="D22" s="13" t="str">
        <x:v>Relé estado sólido</x:v>
      </x:c>
      <x:c r="E22" s="13" t="str">
        <x:v>Unidad / kit</x:v>
      </x:c>
      <x:c r="F22" s="13" t="str">
        <x:v>Entrada DC; salida AC y cruce por cero. Exigir ficha de unidad comprada</x:v>
      </x:c>
      <x:c r="G22" s="13" t="str">
        <x:v>Proveedor por confirmar</x:v>
      </x:c>
      <x:c r="H22" s="13" t="str">
        <x:v>SSR-25DA</x:v>
      </x:c>
      <x:c r="I22" s="14" t="n">
        <x:v>28000</x:v>
      </x:c>
      <x:c r="J22" s="14"/>
      <x:c r="K22" s="15" t="n">
        <x:f>B22*I22</x:f>
        <x:v>28000</x:v>
      </x:c>
      <x:c r="L22" s="15" t="str">
        <x:f>IF(J22="","n.a.",B22*J22)</x:f>
        <x:v>n.a.</x:v>
      </x:c>
      <x:c r="M22" s="13" t="str">
        <x:v>Vistrónica</x:v>
      </x:c>
      <x:c r="N22" s="13" t="str">
        <x:v>Colombia</x:v>
      </x:c>
      <x:c r="O22" s="13" t="str">
        <x:v>https://www.vistronica.com/potencia/rele-estado-solido-24-380vac-25a-ssr-25da-detail.html</x:v>
      </x:c>
      <x:c r="P22" s="13" t="str">
        <x:v>Estimación; cotizar. 14/09/2026</x:v>
      </x:c>
      <x:c r="Q22" s="13" t="str">
        <x:v>Confirmar</x:v>
      </x:c>
    </x:row>
    <x:row r="23" ht="44" customHeight="1">
      <x:c r="A23" s="13" t="n">
        <x:v>20</x:v>
      </x:c>
      <x:c r="B23" s="13" t="n">
        <x:v>1</x:v>
      </x:c>
      <x:c r="C23" s="13" t="str">
        <x:v>Disipador SSR</x:v>
      </x:c>
      <x:c r="D23" s="13" t="str">
        <x:v>Disipación</x:v>
      </x:c>
      <x:c r="E23" s="13" t="str">
        <x:v>Unidad / kit</x:v>
      </x:c>
      <x:c r="F23" s="13" t="str">
        <x:v>Disipador y pasta para SSR: verificar disipación a 9,17 A</x:v>
      </x:c>
      <x:c r="G23" s="13" t="str">
        <x:v>Por definir</x:v>
      </x:c>
      <x:c r="H23" s="13" t="str">
        <x:v>Para SSR1</x:v>
      </x:c>
      <x:c r="I23" s="14" t="n">
        <x:v>15000</x:v>
      </x:c>
      <x:c r="J23" s="14"/>
      <x:c r="K23" s="15" t="n">
        <x:f>B23*I23</x:f>
        <x:v>15000</x:v>
      </x:c>
      <x:c r="L23" s="15" t="str">
        <x:f>IF(J23="","n.a.",B23*J23)</x:f>
        <x:v>n.a.</x:v>
      </x:c>
      <x:c r="M23" s="13" t="str">
        <x:v>Distribuidor electrónico local</x:v>
      </x:c>
      <x:c r="N23" s="13" t="str">
        <x:v>Colombia</x:v>
      </x:c>
      <x:c r="O23" s="13" t="str">
        <x:v>https://www.vistronica.com/</x:v>
      </x:c>
      <x:c r="P23" s="13" t="str">
        <x:v>Estimación; cotizar. 14/09/2026</x:v>
      </x:c>
      <x:c r="Q23" s="13" t="str">
        <x:v>Confirmar</x:v>
      </x:c>
    </x:row>
    <x:row r="24" ht="44" customHeight="1">
      <x:c r="A24" s="13" t="n">
        <x:v>21</x:v>
      </x:c>
      <x:c r="B24" s="13" t="n">
        <x:v>1</x:v>
      </x:c>
      <x:c r="C24" s="13" t="str">
        <x:v>Contactor 2 polos</x:v>
      </x:c>
      <x:c r="D24" s="13" t="str">
        <x:v>Corte físico</x:v>
      </x:c>
      <x:c r="E24" s="13" t="str">
        <x:v>Unidad / kit</x:v>
      </x:c>
      <x:c r="F24" s="13" t="str">
        <x:v>Bobina 12 VDC, contactos &gt;=16 A AC-1, 2 auxiliares NO independientes</x:v>
      </x:c>
      <x:c r="G24" s="13" t="str">
        <x:v>Por definir</x:v>
      </x:c>
      <x:c r="H24" s="13" t="str">
        <x:v>12VDC / &gt;=16A AC-1</x:v>
      </x:c>
      <x:c r="I24" s="14" t="n">
        <x:v>90000</x:v>
      </x:c>
      <x:c r="J24" s="14"/>
      <x:c r="K24" s="15" t="n">
        <x:f>B24*I24</x:f>
        <x:v>90000</x:v>
      </x:c>
      <x:c r="L24" s="15" t="str">
        <x:f>IF(J24="","n.a.",B24*J24)</x:f>
        <x:v>n.a.</x:v>
      </x:c>
      <x:c r="M24" s="13" t="str">
        <x:v>Distribuidor de automatización</x:v>
      </x:c>
      <x:c r="N24" s="13" t="str">
        <x:v>Colombia</x:v>
      </x:c>
      <x:c r="O24" s="13" t="str">
        <x:v>Cotización local pendiente</x:v>
      </x:c>
      <x:c r="P24" s="13" t="str">
        <x:v>Estimación; cotizar. 14/09/2026</x:v>
      </x:c>
      <x:c r="Q24" s="13" t="str">
        <x:v>Confirmar</x:v>
      </x:c>
    </x:row>
    <x:row r="25" ht="44" customHeight="1">
      <x:c r="A25" s="13" t="n">
        <x:v>22</x:v>
      </x:c>
      <x:c r="B25" s="13" t="n">
        <x:v>1</x:v>
      </x:c>
      <x:c r="C25" s="13" t="str">
        <x:v>Parada 2NC</x:v>
      </x:c>
      <x:c r="D25" s="13" t="str">
        <x:v>Emergencia</x:v>
      </x:c>
      <x:c r="E25" s="13" t="str">
        <x:v>Unidad / kit</x:v>
      </x:c>
      <x:c r="F25" s="13" t="str">
        <x:v>Seta enclavable; un NC corta bobina KM1, otro informa al ESP32</x:v>
      </x:c>
      <x:c r="G25" s="13" t="str">
        <x:v>Por definir</x:v>
      </x:c>
      <x:c r="H25" s="13" t="str">
        <x:v>2NC apertura positiva</x:v>
      </x:c>
      <x:c r="I25" s="14" t="n">
        <x:v>20000</x:v>
      </x:c>
      <x:c r="J25" s="14"/>
      <x:c r="K25" s="15" t="n">
        <x:f>B25*I25</x:f>
        <x:v>20000</x:v>
      </x:c>
      <x:c r="L25" s="15" t="str">
        <x:f>IF(J25="","n.a.",B25*J25)</x:f>
        <x:v>n.a.</x:v>
      </x:c>
      <x:c r="M25" s="13" t="str">
        <x:v>Distribuidor de automatización</x:v>
      </x:c>
      <x:c r="N25" s="13" t="str">
        <x:v>Colombia</x:v>
      </x:c>
      <x:c r="O25" s="13" t="str">
        <x:v>Cotización local pendiente</x:v>
      </x:c>
      <x:c r="P25" s="13" t="str">
        <x:v>Estimación; cotizar. 14/09/2026</x:v>
      </x:c>
      <x:c r="Q25" s="13" t="str">
        <x:v>Confirmar</x:v>
      </x:c>
    </x:row>
    <x:row r="26" ht="44" customHeight="1">
      <x:c r="A26" s="13" t="n">
        <x:v>23</x:v>
      </x:c>
      <x:c r="B26" s="13" t="n">
        <x:v>1</x:v>
      </x:c>
      <x:c r="C26" s="13" t="str">
        <x:v>Pulsador NO</x:v>
      </x:c>
      <x:c r="D26" s="13" t="str">
        <x:v>Rearme</x:v>
      </x:c>
      <x:c r="E26" s="13" t="str">
        <x:v>Unidad / kit</x:v>
      </x:c>
      <x:c r="F26" s="13" t="str">
        <x:v>Rearme físico de KM1; no inicia calentamiento</x:v>
      </x:c>
      <x:c r="G26" s="13" t="str">
        <x:v>Por definir</x:v>
      </x:c>
      <x:c r="H26" s="13" t="str">
        <x:v>NO momentáneo</x:v>
      </x:c>
      <x:c r="I26" s="14" t="n">
        <x:v>5000</x:v>
      </x:c>
      <x:c r="J26" s="14"/>
      <x:c r="K26" s="15" t="n">
        <x:f>B26*I26</x:f>
        <x:v>5000</x:v>
      </x:c>
      <x:c r="L26" s="15" t="str">
        <x:f>IF(J26="","n.a.",B26*J26)</x:f>
        <x:v>n.a.</x:v>
      </x:c>
      <x:c r="M26" s="13" t="str">
        <x:v>Distribuidor de automatización</x:v>
      </x:c>
      <x:c r="N26" s="13" t="str">
        <x:v>Colombia</x:v>
      </x:c>
      <x:c r="O26" s="13" t="str">
        <x:v>Cotización local pendiente</x:v>
      </x:c>
      <x:c r="P26" s="13" t="str">
        <x:v>Estimación; cotizar. 14/09/2026</x:v>
      </x:c>
      <x:c r="Q26" s="13" t="str">
        <x:v>Confirmar</x:v>
      </x:c>
    </x:row>
    <x:row r="27" ht="44" customHeight="1">
      <x:c r="A27" s="13" t="n">
        <x:v>24</x:v>
      </x:c>
      <x:c r="B27" s="13" t="n">
        <x:v>1</x:v>
      </x:c>
      <x:c r="C27" s="13" t="str">
        <x:v>Limitador térmico NC</x:v>
      </x:c>
      <x:c r="D27" s="13" t="str">
        <x:v>Protección térmica</x:v>
      </x:c>
      <x:c r="E27" s="13" t="str">
        <x:v>Unidad / kit</x:v>
      </x:c>
      <x:c r="F27" s="13" t="str">
        <x:v>Rearme manual; apertura objetivo 240 °C, ajustar por tolerancia y ubicación</x:v>
      </x:c>
      <x:c r="G27" s="13" t="str">
        <x:v>Por definir</x:v>
      </x:c>
      <x:c r="H27" s="13" t="str">
        <x:v>Capilar; contacto apto para 12VDC</x:v>
      </x:c>
      <x:c r="I27" s="14" t="n">
        <x:v>30000</x:v>
      </x:c>
      <x:c r="J27" s="14"/>
      <x:c r="K27" s="15" t="n">
        <x:f>B27*I27</x:f>
        <x:v>30000</x:v>
      </x:c>
      <x:c r="L27" s="15" t="str">
        <x:f>IF(J27="","n.a.",B27*J27)</x:f>
        <x:v>n.a.</x:v>
      </x:c>
      <x:c r="M27" s="13" t="str">
        <x:v>Proveedor de control térmico</x:v>
      </x:c>
      <x:c r="N27" s="13" t="str">
        <x:v>Colombia</x:v>
      </x:c>
      <x:c r="O27" s="13" t="str">
        <x:v>Cotización local pendiente</x:v>
      </x:c>
      <x:c r="P27" s="13" t="str">
        <x:v>Estimación; cotizar. 14/09/2026</x:v>
      </x:c>
      <x:c r="Q27" s="13" t="str">
        <x:v>Confirmar</x:v>
      </x:c>
    </x:row>
    <x:row r="28" ht="44" customHeight="1">
      <x:c r="A28" s="13" t="n">
        <x:v>25</x:v>
      </x:c>
      <x:c r="B28" s="13" t="n">
        <x:v>1</x:v>
      </x:c>
      <x:c r="C28" s="13" t="str">
        <x:v>Protecciones AC/DC</x:v>
      </x:c>
      <x:c r="D28" s="13" t="str">
        <x:v>Protección eléctrica</x:v>
      </x:c>
      <x:c r="E28" s="13" t="str">
        <x:v>Unidad / kit</x:v>
      </x:c>
      <x:c r="F28" s="13" t="str">
        <x:v>Corte bipolar y fusibles/portafusibles AC/DC; dimensionar con corriente y cable</x:v>
      </x:c>
      <x:c r="G28" s="13" t="str">
        <x:v>Por definir</x:v>
      </x:c>
      <x:c r="H28" s="13" t="str">
        <x:v>Kit de protecciones</x:v>
      </x:c>
      <x:c r="I28" s="14" t="n">
        <x:v>25000</x:v>
      </x:c>
      <x:c r="J28" s="14"/>
      <x:c r="K28" s="15" t="n">
        <x:f>B28*I28</x:f>
        <x:v>25000</x:v>
      </x:c>
      <x:c r="L28" s="15" t="str">
        <x:f>IF(J28="","n.a.",B28*J28)</x:f>
        <x:v>n.a.</x:v>
      </x:c>
      <x:c r="M28" s="13" t="str">
        <x:v>Distribuidor eléctrico</x:v>
      </x:c>
      <x:c r="N28" s="13" t="str">
        <x:v>Colombia</x:v>
      </x:c>
      <x:c r="O28" s="13" t="str">
        <x:v>Cotización local pendiente</x:v>
      </x:c>
      <x:c r="P28" s="13" t="str">
        <x:v>Estimación; cotizar. 14/09/2026</x:v>
      </x:c>
      <x:c r="Q28" s="13" t="str">
        <x:v>Confirmar</x:v>
      </x:c>
    </x:row>
    <x:row r="29" ht="44" customHeight="1">
      <x:c r="A29" s="13" t="n">
        <x:v>26</x:v>
      </x:c>
      <x:c r="B29" s="13" t="n">
        <x:v>1</x:v>
      </x:c>
      <x:c r="C29" s="13" t="str">
        <x:v>Gabinete y cables AC</x:v>
      </x:c>
      <x:c r="D29" s="13" t="str">
        <x:v>Montaje de potencia</x:v>
      </x:c>
      <x:c r="E29" s="13" t="str">
        <x:v>Unidad / kit</x:v>
      </x:c>
      <x:c r="F29" s="13" t="str">
        <x:v>Gabinete básico cerrado, PE, prensaestopas, cable AC de alta temperatura y toma para adaptador</x:v>
      </x:c>
      <x:c r="G29" s="13" t="str">
        <x:v>Por definir</x:v>
      </x:c>
      <x:c r="H29" s="13" t="str">
        <x:v>Kit de instalación</x:v>
      </x:c>
      <x:c r="I29" s="14" t="n">
        <x:v>30000</x:v>
      </x:c>
      <x:c r="J29" s="14"/>
      <x:c r="K29" s="15" t="n">
        <x:f>B29*I29</x:f>
        <x:v>30000</x:v>
      </x:c>
      <x:c r="L29" s="15" t="str">
        <x:f>IF(J29="","n.a.",B29*J29)</x:f>
        <x:v>n.a.</x:v>
      </x:c>
      <x:c r="M29" s="13" t="str">
        <x:v>Distribuidor eléctrico</x:v>
      </x:c>
      <x:c r="N29" s="13" t="str">
        <x:v>Colombia</x:v>
      </x:c>
      <x:c r="O29" s="13" t="str">
        <x:v>Cotización local pendiente</x:v>
      </x:c>
      <x:c r="P29" s="13" t="str">
        <x:v>Estimación; cotizar. 14/09/2026</x:v>
      </x:c>
      <x:c r="Q29" s="13" t="str">
        <x:v>Confirmar</x:v>
      </x:c>
    </x:row>
    <x:row r="30" ht="44" customHeight="1">
      <x:c r="A30" s="13" t="n">
        <x:v>27</x:v>
      </x:c>
      <x:c r="B30" s="13" t="n">
        <x:v>1</x:v>
      </x:c>
      <x:c r="C30" s="13" t="str">
        <x:v>Supresor bobina KM1</x:v>
      </x:c>
      <x:c r="D30" s="13" t="str">
        <x:v>Protección</x:v>
      </x:c>
      <x:c r="E30" s="13" t="str">
        <x:v>Unidad / kit</x:v>
      </x:c>
      <x:c r="F30" s="13" t="str">
        <x:v>Supresor aprobado por fabricante de contactor; respetar polaridad</x:v>
      </x:c>
      <x:c r="G30" s="13" t="str">
        <x:v>Por definir</x:v>
      </x:c>
      <x:c r="H30" s="13" t="str">
        <x:v>Compatible bobina 12VDC</x:v>
      </x:c>
      <x:c r="I30" s="14" t="n">
        <x:v>3000</x:v>
      </x:c>
      <x:c r="J30" s="14"/>
      <x:c r="K30" s="15" t="n">
        <x:f>B30*I30</x:f>
        <x:v>3000</x:v>
      </x:c>
      <x:c r="L30" s="15" t="str">
        <x:f>IF(J30="","n.a.",B30*J30)</x:f>
        <x:v>n.a.</x:v>
      </x:c>
      <x:c r="M30" s="13" t="str">
        <x:v>Distribuidor de automatización</x:v>
      </x:c>
      <x:c r="N30" s="13" t="str">
        <x:v>Colombia</x:v>
      </x:c>
      <x:c r="O30" s="13" t="str">
        <x:v>Cotización local pendiente</x:v>
      </x:c>
      <x:c r="P30" s="13" t="str">
        <x:v>Estimación; cotizar. 14/09/2026</x:v>
      </x:c>
      <x:c r="Q30" s="13" t="str">
        <x:v>Confirmar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0"/>
      <x:c r="J31" s="10"/>
      <x:c r="K31" s="10"/>
      <x:c r="L31" s="10"/>
      <x:c r="M31" s="1"/>
      <x:c r="N31" s="1"/>
      <x:c r="O31" s="1"/>
      <x:c r="P31" s="1"/>
      <x:c r="Q31" s="1"/>
    </x:row>
    <x:row r="32" ht="23" customHeight="1">
      <x:c r="A32" s="1"/>
      <x:c r="B32" s="1"/>
      <x:c r="C32" s="1"/>
      <x:c r="D32" s="1"/>
      <x:c r="E32" s="1"/>
      <x:c r="F32" s="16" t="str">
        <x:v>TOTAL MATERIALES NUEVOS</x:v>
      </x:c>
      <x:c r="G32" s="16"/>
      <x:c r="H32" s="16"/>
      <x:c r="I32" s="17"/>
      <x:c r="J32" s="17"/>
      <x:c r="K32" s="17" t="n">
        <x:f>SUM(K4:K30)</x:f>
        <x:v>558143</x:v>
      </x:c>
      <x:c r="L32" s="10"/>
      <x:c r="M32" s="1"/>
      <x:c r="N32" s="1"/>
      <x:c r="O32" s="1"/>
      <x:c r="P32" s="1"/>
      <x:c r="Q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3" customHeight="1">
      <x:c r="A34" s="1"/>
      <x:c r="B34" s="1"/>
      <x:c r="C34" s="1"/>
      <x:c r="D34" s="1"/>
      <x:c r="E34" s="1"/>
      <x:c r="F34" s="1" t="str">
        <x:v>Estimaciones de compra sujetas a cotización. Sin reserva adicional.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3" customHeight="1">
      <x:c r="A35" s="1"/>
      <x:c r="B35" s="1"/>
      <x:c r="C35" s="1"/>
      <x:c r="D35" s="1"/>
      <x:c r="E35" s="1"/>
      <x:c r="F35" s="1" t="str">
        <x:v>Incluye materiales nuevos de mecánica. No incluye mano de obra, herramientas ni envíos.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3" customHeight="1">
      <x:c r="A36" s="1"/>
      <x:c r="B36" s="1"/>
      <x:c r="C36" s="1"/>
      <x:c r="D36" s="1"/>
      <x:c r="E36" s="1"/>
      <x:c r="F36" s="1" t="str">
        <x:v>Columnas de volumen vacías: no se aplicó cotización por 25 unidades.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I2:Q2"/>
    <x:mergeCell ref="F34:L34"/>
    <x:mergeCell ref="F35:L35"/>
    <x:mergeCell ref="F36:L36"/>
  </x:mergeCells>
  <x:pageMargins left="0.7" right="0.7" top="0.75" bottom="0.75" header="0.3" footer="0.3"/>
</x:worksheet>
</file>